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nh\Downloads\"/>
    </mc:Choice>
  </mc:AlternateContent>
  <xr:revisionPtr revIDLastSave="0" documentId="13_ncr:1_{AB048B85-924A-4FCB-9A9B-841E2CD4F2E3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KPIs" sheetId="1" r:id="rId1"/>
    <sheet name="Monthly Placements" sheetId="2" r:id="rId2"/>
    <sheet name="Eviction Trend" sheetId="3" r:id="rId3"/>
    <sheet name="Partner Ecosystem" sheetId="4" r:id="rId4"/>
    <sheet name="DEIB Metrics" sheetId="5" r:id="rId5"/>
    <sheet name="Org Health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3" l="1"/>
  <c r="C8" i="3"/>
  <c r="C7" i="3"/>
  <c r="C6" i="3"/>
  <c r="C5" i="3"/>
  <c r="C16" i="2"/>
  <c r="B16" i="2"/>
  <c r="D16" i="2" s="1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<sst xmlns="http://schemas.openxmlformats.org/spreadsheetml/2006/main" count="254" uniqueCount="149">
  <si>
    <t>THE HOUSING COLLECTIVE — KEY PERFORMANCE INDICATORS</t>
  </si>
  <si>
    <t>2024–2026 Strategic Plan  |  Update: February 2026</t>
  </si>
  <si>
    <t>Metric</t>
  </si>
  <si>
    <t>Value</t>
  </si>
  <si>
    <t>Unit</t>
  </si>
  <si>
    <t>Change vs Prior</t>
  </si>
  <si>
    <t>Status</t>
  </si>
  <si>
    <t>Directive</t>
  </si>
  <si>
    <t>Definition</t>
  </si>
  <si>
    <t>People Housed YTD</t>
  </si>
  <si>
    <t>+18%</t>
  </si>
  <si>
    <t>On Track</t>
  </si>
  <si>
    <t>A</t>
  </si>
  <si>
    <t>Avg Days Homeless</t>
  </si>
  <si>
    <t>days</t>
  </si>
  <si>
    <t>-12%</t>
  </si>
  <si>
    <t>Average number of days between a person's first contact with the homeless response system and their placement in stable housing.</t>
  </si>
  <si>
    <t>Recidivism Rate</t>
  </si>
  <si>
    <t>%</t>
  </si>
  <si>
    <t>-2.1%</t>
  </si>
  <si>
    <t>Units Preserved</t>
  </si>
  <si>
    <t>+31%</t>
  </si>
  <si>
    <t>Cumulative count of affordable housing units produced, preserved, or protected from loss through HC-supported partnerships.</t>
  </si>
  <si>
    <t>Active Partners</t>
  </si>
  <si>
    <t>+5</t>
  </si>
  <si>
    <t>B</t>
  </si>
  <si>
    <t>Number of organizations actively participating in HC-led convenings, coalitions, or collective impact initiatives during the reporting period.</t>
  </si>
  <si>
    <t>BIPOC-led Orgs</t>
  </si>
  <si>
    <t>+3</t>
  </si>
  <si>
    <t>Number of new formal partnerships established with organizations led by Black, Indigenous, and People of Color during the plan period.</t>
  </si>
  <si>
    <t>Policy Wins YTD</t>
  </si>
  <si>
    <t>Number of policy changes, funding allocations, or legislative outcomes directly attributable to HC's advocacy and research efforts.</t>
  </si>
  <si>
    <t>Partner Satisfaction</t>
  </si>
  <si>
    <t>/5</t>
  </si>
  <si>
    <t>Average rating (1–5 scale) from the annual partner survey measuring HC's value as a convening and coordinating body.</t>
  </si>
  <si>
    <t>Staff Retention</t>
  </si>
  <si>
    <t>C</t>
  </si>
  <si>
    <t>Percentage of staff employed at the start of the year who remain employed at year-end. Target: 85% or above.</t>
  </si>
  <si>
    <t>Revenue Diversification</t>
  </si>
  <si>
    <t>Percentage of total revenue from the largest single funding source. Lower concentration = healthier diversification. Target: no source exceeds 40%.</t>
  </si>
  <si>
    <t>Operating Reserve</t>
  </si>
  <si>
    <t>months</t>
  </si>
  <si>
    <t>At Risk</t>
  </si>
  <si>
    <t>Number of months of operating expenses held in unrestricted cash reserves. Target: minimum 3 months.</t>
  </si>
  <si>
    <t>Compliance Rate</t>
  </si>
  <si>
    <t>Percentage of grants and contracts meeting all funder reporting, programmatic, and financial compliance requirements by their deadlines.</t>
  </si>
  <si>
    <t>Staff Satisfaction</t>
  </si>
  <si>
    <t>Average score (1–5 scale) from the bi-annual staff engagement and workplace satisfaction survey.</t>
  </si>
  <si>
    <t>Dev Hours / Person</t>
  </si>
  <si>
    <t>hrs</t>
  </si>
  <si>
    <t>Average number of professional development and training hours completed per staff member annually. Target: minimum 20 hours.</t>
  </si>
  <si>
    <t>DEIB Training</t>
  </si>
  <si>
    <t>D</t>
  </si>
  <si>
    <t>Staff + board completion</t>
  </si>
  <si>
    <t>PWLE Governance</t>
  </si>
  <si>
    <t>Percentage of HC decision-making bodies (board, committees, advisory groups) that include meaningful representation from People with Lived Experience of homelessness or housing instability.</t>
  </si>
  <si>
    <t>Staff Diversity</t>
  </si>
  <si>
    <t>Percentage of staff who identify as Black, Indigenous, or People of Color. Tracked across all levels including leadership.</t>
  </si>
  <si>
    <t>BIPOC Partnerships</t>
  </si>
  <si>
    <t>Percentage of HC's formal community partnerships that are with BIPOC-led organizations, measured against a long-term target.</t>
  </si>
  <si>
    <t>Equitable Procurement</t>
  </si>
  <si>
    <t>Percentage of HC vendor contracts and service agreements awarded through a process that explicitly applies DEIB criteria.</t>
  </si>
  <si>
    <t>Community Trust Score</t>
  </si>
  <si>
    <t>Survey-based rating of trust and confidence in HC among BIPOC community members in HC's service regions.</t>
  </si>
  <si>
    <t>MONTHLY HOUSING PLACEMENTS VS. TARGET</t>
  </si>
  <si>
    <t>Month</t>
  </si>
  <si>
    <t>Housed</t>
  </si>
  <si>
    <t>Target</t>
  </si>
  <si>
    <t>Variance</t>
  </si>
  <si>
    <t>Monthly count of individuals and families successfully placed in stable housing through HC-supported programs. Target is set quarterly based on capacity and seasonal trends.</t>
  </si>
  <si>
    <t>TOTAL / AVG</t>
  </si>
  <si>
    <t>Sum of all monthly placements and targets for the full reporting period.</t>
  </si>
  <si>
    <t>CT EVICTION FILING TREND (Rate per 1,000 Households)</t>
  </si>
  <si>
    <t>Quarter</t>
  </si>
  <si>
    <t>Filing Rate</t>
  </si>
  <si>
    <t>YoY Change</t>
  </si>
  <si>
    <t>—</t>
  </si>
  <si>
    <t>Eviction filings per 1,000 renter households in Connecticut. Source: CT Judicial Branch. Pre-pandemic baseline (2019) was approximately 3.0.</t>
  </si>
  <si>
    <t>Peak quarter — filings exceeded pre-pandemic levels for the first time. Source: CT Judicial Branch.</t>
  </si>
  <si>
    <t>PARTNER ECOSYSTEM BREAKDOWN</t>
  </si>
  <si>
    <t>Partner Type</t>
  </si>
  <si>
    <t>Count / %</t>
  </si>
  <si>
    <t>Color Code</t>
  </si>
  <si>
    <t>Nonprofits</t>
  </si>
  <si>
    <t>58%</t>
  </si>
  <si>
    <t>■ Nonprofits</t>
  </si>
  <si>
    <t>501(c)(3) organizations including homeless service providers, housing developers, legal aid, health, and social service agencies engaged in HC-led convenings or initiatives.</t>
  </si>
  <si>
    <t>Government</t>
  </si>
  <si>
    <t>31%</t>
  </si>
  <si>
    <t>■ Government</t>
  </si>
  <si>
    <t>Municipal, state, and federal government agencies and departments participating in HC collective impact work, including housing authorities and CoC leads.</t>
  </si>
  <si>
    <t>For-Profit</t>
  </si>
  <si>
    <t>7%</t>
  </si>
  <si>
    <t>■ For-Profit</t>
  </si>
  <si>
    <t>Private sector businesses, real estate developers, financial institutions, and employers engaged as partners in HC's housing affordability and workforce initiatives.</t>
  </si>
  <si>
    <t>Foundations</t>
  </si>
  <si>
    <t>4%</t>
  </si>
  <si>
    <t>■ Foundations</t>
  </si>
  <si>
    <t>Private and community foundations providing funding and strategic partnership support to HC and its regional initiatives.</t>
  </si>
  <si>
    <t>DEIB METRICS — Directive D</t>
  </si>
  <si>
    <t>Current %</t>
  </si>
  <si>
    <t>Target %</t>
  </si>
  <si>
    <t>DEIB Training Completion</t>
  </si>
  <si>
    <t>88%</t>
  </si>
  <si>
    <t>100%</t>
  </si>
  <si>
    <t>Percentage of all staff and board members who have completed the required annual DEIB training curriculum in the current plan year. Tracks both completion rate and training quality via post-survey.</t>
  </si>
  <si>
    <t>PWLE in Governance</t>
  </si>
  <si>
    <t>72%</t>
  </si>
  <si>
    <t>85%</t>
  </si>
  <si>
    <t>Percentage of formal HC decision-making bodies — including the Board of Directors, advisory committees, and initiative steering groups — that include at least one Person with Lived Experience of homelessness or housing instability in a meaningful, compensated role.</t>
  </si>
  <si>
    <t>61%</t>
  </si>
  <si>
    <t>75%</t>
  </si>
  <si>
    <t>Percentage of HC staff who identify as Black, Indigenous, or People of Color (BIPOC), tracked across all levels. Leadership-level representation is tracked separately to identify pipeline gaps.</t>
  </si>
  <si>
    <t>45%</t>
  </si>
  <si>
    <t>70%</t>
  </si>
  <si>
    <t>Percentage of HC's formal community partnerships that are with organizations founded and led by BIPOC individuals, measured against the plan period target of 70%.</t>
  </si>
  <si>
    <t>53%</t>
  </si>
  <si>
    <t>Percentage of HC vendor, contractor, and consultant agreements awarded through a procurement process that explicitly applies DEIB criteria including minority-owned business preferences.</t>
  </si>
  <si>
    <t>79%</t>
  </si>
  <si>
    <t>Composite survey score measuring the level of trust, confidence, and sense of inclusion that BIPOC community members in HC's service regions feel toward The Housing Collective. Administered annually.</t>
  </si>
  <si>
    <t>Racial Equity in Outcomes</t>
  </si>
  <si>
    <t>68%</t>
  </si>
  <si>
    <t>90%</t>
  </si>
  <si>
    <t>Measures whether housing placement rates for BIPOC individuals are proportional to their representation in the overall homeless population. A score below 100% indicates a disparity gap.</t>
  </si>
  <si>
    <t>Equity Audit Findings</t>
  </si>
  <si>
    <t>80%</t>
  </si>
  <si>
    <t>Percentage of identified inequities from the most recent internal equity audit that have been addressed or remediated. Audits cover hiring, compensation, procurement, and program access.</t>
  </si>
  <si>
    <t>ORGANIZATIONAL HEALTH — Directive C</t>
  </si>
  <si>
    <t>Current</t>
  </si>
  <si>
    <t>Percentage of staff employed at the start of the fiscal year who remain employed at year-end. Calculated as: (staff at year-end ÷ staff at year-start) × 100. Target: 85% or above.</t>
  </si>
  <si>
    <t>Percentage of total annual revenue derived from the single largest funding source. A lower percentage indicates healthier diversification. Target: no single source exceeds 40% of total revenue.</t>
  </si>
  <si>
    <t>Number of months of average operating expenses held in unrestricted cash or liquid reserves. Calculated as: (unrestricted reserves ÷ average monthly expenses). Target: minimum 3 months.</t>
  </si>
  <si>
    <t>Percentage of all active grants and contracts where HC has met all funder reporting, programmatic milestone, and financial compliance requirements by their stated deadlines. Target: 99% or above.</t>
  </si>
  <si>
    <t>Average score (1–5 scale) from HC's bi-annual all-staff engagement and workplace satisfaction survey. Covers dimensions including culture, leadership, compensation, and professional growth.</t>
  </si>
  <si>
    <t>Average number of formal professional development, training, and learning hours completed per full-time staff member annually. Includes internal training, external conferences, and coursework. Target: 20+ hours.</t>
  </si>
  <si>
    <t>Cross-Initiative Synergies</t>
  </si>
  <si>
    <t>count</t>
  </si>
  <si>
    <t>Count of formally documented collaborations, shared resources, joint activities, or warm referrals between HC's three core initiatives (Opening Doors, Centers for Housing Opportunity, Innovation Lab) in the reporting period.</t>
  </si>
  <si>
    <t>Time to Fill Vacancies</t>
  </si>
  <si>
    <t>Average number of calendar days from the date a job posting is published to the date an offer is accepted. Measures recruitment efficiency. Target: 30 days or fewer.</t>
  </si>
  <si>
    <t>Q2 2025</t>
  </si>
  <si>
    <t>Q1 2025</t>
  </si>
  <si>
    <t>Q3 2025</t>
  </si>
  <si>
    <t>Q4 2025</t>
  </si>
  <si>
    <t>Q1 2026</t>
  </si>
  <si>
    <t>Q2 2026</t>
  </si>
  <si>
    <t>Slight decline from Q1 2026 peak, but still above pre-pandemic levels. HC prevention programs active in 4 regions.</t>
  </si>
  <si>
    <t>Total individuals and families successfully placed in stable housing year-to-date across all HC core initiatives.</t>
  </si>
  <si>
    <t>Percentage of people who return to homelessness within 12 months of being housed.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</si>
</sst>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3"/>
      <color rgb="FF3DD6F5"/>
      <name val="Arial"/>
      <charset val="1"/>
    </font>
    <font>
      <sz val="10"/>
      <color rgb="FF888888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3DDB85"/>
      <name val="Arial"/>
      <charset val="1"/>
    </font>
    <font>
      <b/>
      <sz val="10"/>
      <color rgb="FFFFFFFF"/>
      <name val="Arial"/>
      <charset val="1"/>
    </font>
    <font>
      <sz val="10"/>
      <color rgb="FF555555"/>
      <name val="Arial"/>
      <charset val="1"/>
    </font>
    <font>
      <b/>
      <sz val="10"/>
      <color rgb="FFFF6B6B"/>
      <name val="Arial"/>
      <charset val="1"/>
    </font>
    <font>
      <b/>
      <sz val="10"/>
      <color rgb="FF888888"/>
      <name val="Arial"/>
      <charset val="1"/>
    </font>
    <font>
      <b/>
      <sz val="10"/>
      <color rgb="FF0D1B4B"/>
      <name val="Arial"/>
      <charset val="1"/>
    </font>
    <font>
      <b/>
      <sz val="12"/>
      <color rgb="FFFFFFFF"/>
      <name val="Arial"/>
      <charset val="1"/>
    </font>
    <font>
      <b/>
      <sz val="10"/>
      <color rgb="FFA855C8"/>
      <name val="Arial"/>
      <charset val="1"/>
    </font>
    <font>
      <b/>
      <sz val="11"/>
      <color rgb="FF0D1B4B"/>
      <name val="Arial"/>
      <charset val="1"/>
    </font>
    <font>
      <b/>
      <sz val="10"/>
      <name val="Arial"/>
      <charset val="1"/>
    </font>
    <font>
      <b/>
      <sz val="10"/>
      <color rgb="FF555555"/>
      <name val="Arial"/>
      <charset val="1"/>
    </font>
    <font>
      <b/>
      <sz val="12"/>
      <color rgb="FF0D1B4B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4B"/>
        <bgColor rgb="FF000080"/>
      </patternFill>
    </fill>
    <fill>
      <patternFill patternType="solid">
        <fgColor rgb="FFFFFFFF"/>
        <bgColor rgb="FFF5F5F5"/>
      </patternFill>
    </fill>
    <fill>
      <patternFill patternType="solid">
        <fgColor rgb="FFE8F8F1"/>
        <bgColor rgb="FFF5F5F5"/>
      </patternFill>
    </fill>
    <fill>
      <patternFill patternType="solid">
        <fgColor rgb="FFA855C8"/>
        <bgColor rgb="FF993366"/>
      </patternFill>
    </fill>
    <fill>
      <patternFill patternType="solid">
        <fgColor rgb="FFF5F5F5"/>
        <bgColor rgb="FFFFF0F0"/>
      </patternFill>
    </fill>
    <fill>
      <patternFill patternType="solid">
        <fgColor rgb="FFF5C842"/>
        <bgColor rgb="FFFFCC99"/>
      </patternFill>
    </fill>
    <fill>
      <patternFill patternType="solid">
        <fgColor rgb="FFFFF0F0"/>
        <bgColor rgb="FFF5F5F5"/>
      </patternFill>
    </fill>
    <fill>
      <patternFill patternType="solid">
        <fgColor rgb="FF3DD6F5"/>
        <bgColor rgb="FF00CCFF"/>
      </patternFill>
    </fill>
    <fill>
      <patternFill patternType="solid">
        <fgColor rgb="FFE0E0E0"/>
        <bgColor rgb="FFE8F8F1"/>
      </patternFill>
    </fill>
    <fill>
      <patternFill patternType="solid">
        <fgColor rgb="FFFF6B6B"/>
        <bgColor rgb="FFFF66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7" fontId="4" fillId="6" borderId="1" xfId="0" applyNumberFormat="1" applyFont="1" applyFill="1" applyBorder="1" applyAlignment="1">
      <alignment horizontal="left" vertical="center"/>
    </xf>
    <xf numFmtId="17" fontId="4" fillId="3" borderId="1" xfId="0" applyNumberFormat="1" applyFont="1" applyFill="1" applyBorder="1" applyAlignment="1">
      <alignment horizontal="left" vertical="center"/>
    </xf>
    <xf numFmtId="0" fontId="17" fillId="9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A855C8"/>
      <rgbColor rgb="FFF5F5F5"/>
      <rgbColor rgb="FFE8F8F1"/>
      <rgbColor rgb="FF660066"/>
      <rgbColor rgb="FFFF6B6B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0F0"/>
      <rgbColor rgb="FFCCFFCC"/>
      <rgbColor rgb="FFFFFF99"/>
      <rgbColor rgb="FF99CCFF"/>
      <rgbColor rgb="FFFF99CC"/>
      <rgbColor rgb="FFCC99FF"/>
      <rgbColor rgb="FFFFCC99"/>
      <rgbColor rgb="FF3366FF"/>
      <rgbColor rgb="FF3DD6F5"/>
      <rgbColor rgb="FF99CC00"/>
      <rgbColor rgb="FFF5C842"/>
      <rgbColor rgb="FFFF9900"/>
      <rgbColor rgb="FFFF6600"/>
      <rgbColor rgb="FF555555"/>
      <rgbColor rgb="FF969696"/>
      <rgbColor rgb="FF0D1B4B"/>
      <rgbColor rgb="FF3DDB8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Normal="100" workbookViewId="0">
      <pane ySplit="4" topLeftCell="A5" activePane="bottomLeft" state="frozen"/>
      <selection pane="bottomLeft" activeCell="E14" sqref="E14"/>
    </sheetView>
  </sheetViews>
  <sheetFormatPr defaultColWidth="8.73046875" defaultRowHeight="14.25" x14ac:dyDescent="0.45"/>
  <cols>
    <col min="1" max="1" width="28" customWidth="1"/>
    <col min="2" max="2" width="10" customWidth="1"/>
    <col min="3" max="3" width="9" customWidth="1"/>
    <col min="4" max="4" width="16" customWidth="1"/>
    <col min="5" max="6" width="12" customWidth="1"/>
    <col min="7" max="7" width="55" customWidth="1"/>
  </cols>
  <sheetData>
    <row r="1" spans="1:7" ht="36" customHeight="1" x14ac:dyDescent="0.45">
      <c r="A1" s="45" t="s">
        <v>0</v>
      </c>
      <c r="B1" s="45"/>
      <c r="C1" s="45"/>
      <c r="D1" s="45"/>
      <c r="E1" s="45"/>
      <c r="F1" s="45"/>
      <c r="G1" s="45"/>
    </row>
    <row r="2" spans="1:7" ht="18" customHeight="1" x14ac:dyDescent="0.45">
      <c r="A2" s="46" t="s">
        <v>1</v>
      </c>
      <c r="B2" s="46"/>
      <c r="C2" s="46"/>
      <c r="D2" s="46"/>
      <c r="E2" s="46"/>
      <c r="F2" s="46"/>
      <c r="G2" s="46"/>
    </row>
    <row r="4" spans="1:7" ht="51.75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</row>
    <row r="5" spans="1:7" ht="51.75" customHeight="1" x14ac:dyDescent="0.45">
      <c r="A5" s="3" t="s">
        <v>9</v>
      </c>
      <c r="B5" s="4">
        <v>329</v>
      </c>
      <c r="C5" s="5"/>
      <c r="D5" s="6" t="s">
        <v>10</v>
      </c>
      <c r="E5" s="7" t="s">
        <v>11</v>
      </c>
      <c r="F5" s="8" t="s">
        <v>12</v>
      </c>
      <c r="G5" s="9" t="s">
        <v>147</v>
      </c>
    </row>
    <row r="6" spans="1:7" ht="51.75" customHeight="1" x14ac:dyDescent="0.45">
      <c r="A6" s="10" t="s">
        <v>13</v>
      </c>
      <c r="B6" s="11">
        <v>47</v>
      </c>
      <c r="C6" s="12" t="s">
        <v>14</v>
      </c>
      <c r="D6" s="13" t="s">
        <v>15</v>
      </c>
      <c r="E6" s="7" t="s">
        <v>11</v>
      </c>
      <c r="F6" s="8" t="s">
        <v>12</v>
      </c>
      <c r="G6" s="14" t="s">
        <v>16</v>
      </c>
    </row>
    <row r="7" spans="1:7" ht="51.75" customHeight="1" x14ac:dyDescent="0.45">
      <c r="A7" s="3" t="s">
        <v>17</v>
      </c>
      <c r="B7" s="4">
        <v>8.3000000000000007</v>
      </c>
      <c r="C7" s="5" t="s">
        <v>18</v>
      </c>
      <c r="D7" s="15" t="s">
        <v>19</v>
      </c>
      <c r="E7" s="7" t="s">
        <v>11</v>
      </c>
      <c r="F7" s="8" t="s">
        <v>12</v>
      </c>
      <c r="G7" s="9" t="s">
        <v>148</v>
      </c>
    </row>
    <row r="8" spans="1:7" ht="51.75" customHeight="1" x14ac:dyDescent="0.45">
      <c r="A8" s="10" t="s">
        <v>20</v>
      </c>
      <c r="B8" s="11">
        <v>214</v>
      </c>
      <c r="C8" s="12"/>
      <c r="D8" s="16" t="s">
        <v>21</v>
      </c>
      <c r="E8" s="7" t="s">
        <v>11</v>
      </c>
      <c r="F8" s="8" t="s">
        <v>12</v>
      </c>
      <c r="G8" s="14" t="s">
        <v>22</v>
      </c>
    </row>
    <row r="9" spans="1:7" ht="51.75" customHeight="1" x14ac:dyDescent="0.45">
      <c r="A9" s="3" t="s">
        <v>23</v>
      </c>
      <c r="B9" s="4">
        <v>79</v>
      </c>
      <c r="C9" s="5"/>
      <c r="D9" s="6" t="s">
        <v>24</v>
      </c>
      <c r="E9" s="7" t="s">
        <v>11</v>
      </c>
      <c r="F9" s="17" t="s">
        <v>25</v>
      </c>
      <c r="G9" s="9" t="s">
        <v>26</v>
      </c>
    </row>
    <row r="10" spans="1:7" ht="51.75" customHeight="1" x14ac:dyDescent="0.45">
      <c r="A10" s="10" t="s">
        <v>27</v>
      </c>
      <c r="B10" s="11">
        <v>12</v>
      </c>
      <c r="C10" s="12"/>
      <c r="D10" s="16" t="s">
        <v>28</v>
      </c>
      <c r="E10" s="7" t="s">
        <v>11</v>
      </c>
      <c r="F10" s="17" t="s">
        <v>25</v>
      </c>
      <c r="G10" s="14" t="s">
        <v>29</v>
      </c>
    </row>
    <row r="11" spans="1:7" ht="51.75" customHeight="1" x14ac:dyDescent="0.45">
      <c r="A11" s="3" t="s">
        <v>30</v>
      </c>
      <c r="B11" s="4">
        <v>3</v>
      </c>
      <c r="C11" s="5"/>
      <c r="D11" s="18"/>
      <c r="E11" s="7" t="s">
        <v>11</v>
      </c>
      <c r="F11" s="17" t="s">
        <v>25</v>
      </c>
      <c r="G11" s="9" t="s">
        <v>31</v>
      </c>
    </row>
    <row r="12" spans="1:7" ht="51.75" customHeight="1" x14ac:dyDescent="0.45">
      <c r="A12" s="10" t="s">
        <v>32</v>
      </c>
      <c r="B12" s="11">
        <v>4.2</v>
      </c>
      <c r="C12" s="12" t="s">
        <v>33</v>
      </c>
      <c r="D12" s="19"/>
      <c r="E12" s="7" t="s">
        <v>11</v>
      </c>
      <c r="F12" s="17" t="s">
        <v>25</v>
      </c>
      <c r="G12" s="14" t="s">
        <v>34</v>
      </c>
    </row>
    <row r="13" spans="1:7" ht="51.75" customHeight="1" x14ac:dyDescent="0.45">
      <c r="A13" s="3" t="s">
        <v>35</v>
      </c>
      <c r="B13" s="4">
        <v>87</v>
      </c>
      <c r="C13" s="5" t="s">
        <v>18</v>
      </c>
      <c r="D13" s="18"/>
      <c r="E13" s="7" t="s">
        <v>11</v>
      </c>
      <c r="F13" s="20" t="s">
        <v>36</v>
      </c>
      <c r="G13" s="9" t="s">
        <v>37</v>
      </c>
    </row>
    <row r="14" spans="1:7" ht="51.75" customHeight="1" x14ac:dyDescent="0.45">
      <c r="A14" s="10" t="s">
        <v>38</v>
      </c>
      <c r="B14" s="11">
        <v>64</v>
      </c>
      <c r="C14" s="12" t="s">
        <v>18</v>
      </c>
      <c r="D14" s="19"/>
      <c r="E14" s="7" t="s">
        <v>11</v>
      </c>
      <c r="F14" s="20" t="s">
        <v>36</v>
      </c>
      <c r="G14" s="14" t="s">
        <v>39</v>
      </c>
    </row>
    <row r="15" spans="1:7" ht="51.75" customHeight="1" x14ac:dyDescent="0.45">
      <c r="A15" s="3" t="s">
        <v>40</v>
      </c>
      <c r="B15" s="4">
        <v>2.4</v>
      </c>
      <c r="C15" s="5" t="s">
        <v>41</v>
      </c>
      <c r="D15" s="18"/>
      <c r="E15" s="21" t="s">
        <v>42</v>
      </c>
      <c r="F15" s="20" t="s">
        <v>36</v>
      </c>
      <c r="G15" s="9" t="s">
        <v>43</v>
      </c>
    </row>
    <row r="16" spans="1:7" ht="51.75" customHeight="1" x14ac:dyDescent="0.45">
      <c r="A16" s="10" t="s">
        <v>44</v>
      </c>
      <c r="B16" s="11">
        <v>98</v>
      </c>
      <c r="C16" s="12" t="s">
        <v>18</v>
      </c>
      <c r="D16" s="19"/>
      <c r="E16" s="21" t="s">
        <v>42</v>
      </c>
      <c r="F16" s="20" t="s">
        <v>36</v>
      </c>
      <c r="G16" s="14" t="s">
        <v>45</v>
      </c>
    </row>
    <row r="17" spans="1:7" ht="51.75" customHeight="1" x14ac:dyDescent="0.45">
      <c r="A17" s="3" t="s">
        <v>46</v>
      </c>
      <c r="B17" s="4">
        <v>4.0999999999999996</v>
      </c>
      <c r="C17" s="5" t="s">
        <v>33</v>
      </c>
      <c r="D17" s="18"/>
      <c r="E17" s="7" t="s">
        <v>11</v>
      </c>
      <c r="F17" s="20" t="s">
        <v>36</v>
      </c>
      <c r="G17" s="9" t="s">
        <v>47</v>
      </c>
    </row>
    <row r="18" spans="1:7" ht="51.75" customHeight="1" x14ac:dyDescent="0.45">
      <c r="A18" s="10" t="s">
        <v>48</v>
      </c>
      <c r="B18" s="11">
        <v>23</v>
      </c>
      <c r="C18" s="12" t="s">
        <v>49</v>
      </c>
      <c r="D18" s="19"/>
      <c r="E18" s="7" t="s">
        <v>11</v>
      </c>
      <c r="F18" s="20" t="s">
        <v>36</v>
      </c>
      <c r="G18" s="14" t="s">
        <v>50</v>
      </c>
    </row>
    <row r="19" spans="1:7" ht="51.75" customHeight="1" x14ac:dyDescent="0.45">
      <c r="A19" s="3" t="s">
        <v>51</v>
      </c>
      <c r="B19" s="4">
        <v>88</v>
      </c>
      <c r="C19" s="5" t="s">
        <v>18</v>
      </c>
      <c r="D19" s="18"/>
      <c r="E19" s="7" t="s">
        <v>11</v>
      </c>
      <c r="F19" s="22" t="s">
        <v>52</v>
      </c>
      <c r="G19" s="23" t="s">
        <v>53</v>
      </c>
    </row>
    <row r="20" spans="1:7" ht="51.75" customHeight="1" x14ac:dyDescent="0.45">
      <c r="A20" s="10" t="s">
        <v>54</v>
      </c>
      <c r="B20" s="11">
        <v>72</v>
      </c>
      <c r="C20" s="12" t="s">
        <v>18</v>
      </c>
      <c r="D20" s="19"/>
      <c r="E20" s="7" t="s">
        <v>11</v>
      </c>
      <c r="F20" s="22" t="s">
        <v>52</v>
      </c>
      <c r="G20" s="14" t="s">
        <v>55</v>
      </c>
    </row>
    <row r="21" spans="1:7" ht="51.75" customHeight="1" x14ac:dyDescent="0.45">
      <c r="A21" s="3" t="s">
        <v>56</v>
      </c>
      <c r="B21" s="4">
        <v>61</v>
      </c>
      <c r="C21" s="5" t="s">
        <v>18</v>
      </c>
      <c r="D21" s="18"/>
      <c r="E21" s="7" t="s">
        <v>11</v>
      </c>
      <c r="F21" s="22" t="s">
        <v>52</v>
      </c>
      <c r="G21" s="9" t="s">
        <v>57</v>
      </c>
    </row>
    <row r="22" spans="1:7" ht="51.75" customHeight="1" x14ac:dyDescent="0.45">
      <c r="A22" s="10" t="s">
        <v>58</v>
      </c>
      <c r="B22" s="11">
        <v>45</v>
      </c>
      <c r="C22" s="12" t="s">
        <v>18</v>
      </c>
      <c r="D22" s="19"/>
      <c r="E22" s="21" t="s">
        <v>42</v>
      </c>
      <c r="F22" s="22" t="s">
        <v>52</v>
      </c>
      <c r="G22" s="14" t="s">
        <v>59</v>
      </c>
    </row>
    <row r="23" spans="1:7" ht="51.75" customHeight="1" x14ac:dyDescent="0.45">
      <c r="A23" s="3" t="s">
        <v>60</v>
      </c>
      <c r="B23" s="4">
        <v>53</v>
      </c>
      <c r="C23" s="5" t="s">
        <v>18</v>
      </c>
      <c r="D23" s="18"/>
      <c r="E23" s="21" t="s">
        <v>42</v>
      </c>
      <c r="F23" s="22" t="s">
        <v>52</v>
      </c>
      <c r="G23" s="9" t="s">
        <v>61</v>
      </c>
    </row>
    <row r="24" spans="1:7" ht="51.75" customHeight="1" x14ac:dyDescent="0.45">
      <c r="A24" s="10" t="s">
        <v>62</v>
      </c>
      <c r="B24" s="11">
        <v>79</v>
      </c>
      <c r="C24" s="12" t="s">
        <v>18</v>
      </c>
      <c r="D24" s="19"/>
      <c r="E24" s="7" t="s">
        <v>11</v>
      </c>
      <c r="F24" s="22" t="s">
        <v>52</v>
      </c>
      <c r="G24" s="14" t="s">
        <v>63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pane ySplit="3" topLeftCell="A4" activePane="bottomLeft" state="frozen"/>
      <selection pane="bottomLeft" activeCell="D4" sqref="D4"/>
    </sheetView>
  </sheetViews>
  <sheetFormatPr defaultColWidth="8.73046875" defaultRowHeight="14.25" x14ac:dyDescent="0.45"/>
  <cols>
    <col min="1" max="4" width="16" customWidth="1"/>
    <col min="5" max="5" width="52" customWidth="1"/>
  </cols>
  <sheetData>
    <row r="1" spans="1:5" ht="15" customHeight="1" x14ac:dyDescent="0.45">
      <c r="A1" s="47" t="s">
        <v>64</v>
      </c>
      <c r="B1" s="47"/>
      <c r="C1" s="47"/>
      <c r="D1" s="47"/>
    </row>
    <row r="3" spans="1:5" ht="15" customHeight="1" x14ac:dyDescent="0.45">
      <c r="A3" s="24" t="s">
        <v>65</v>
      </c>
      <c r="B3" s="24" t="s">
        <v>66</v>
      </c>
      <c r="C3" s="24" t="s">
        <v>67</v>
      </c>
      <c r="D3" s="24" t="s">
        <v>68</v>
      </c>
      <c r="E3" s="25" t="s">
        <v>8</v>
      </c>
    </row>
    <row r="4" spans="1:5" ht="51.75" customHeight="1" x14ac:dyDescent="0.45">
      <c r="A4" s="42">
        <v>45658</v>
      </c>
      <c r="B4" s="26">
        <v>42</v>
      </c>
      <c r="C4" s="12">
        <v>50</v>
      </c>
      <c r="D4" s="13">
        <f t="shared" ref="D4:D16" si="0">B4-C4</f>
        <v>-8</v>
      </c>
      <c r="E4" s="14" t="s">
        <v>69</v>
      </c>
    </row>
    <row r="5" spans="1:5" ht="51.75" customHeight="1" x14ac:dyDescent="0.45">
      <c r="A5" s="43">
        <v>45689</v>
      </c>
      <c r="B5" s="27">
        <v>48</v>
      </c>
      <c r="C5" s="5">
        <v>50</v>
      </c>
      <c r="D5" s="15">
        <f t="shared" si="0"/>
        <v>-2</v>
      </c>
      <c r="E5" s="9" t="s">
        <v>69</v>
      </c>
    </row>
    <row r="6" spans="1:5" ht="51.75" customHeight="1" x14ac:dyDescent="0.45">
      <c r="A6" s="43">
        <v>45717</v>
      </c>
      <c r="B6" s="26">
        <v>53</v>
      </c>
      <c r="C6" s="12">
        <v>50</v>
      </c>
      <c r="D6" s="16">
        <f t="shared" si="0"/>
        <v>3</v>
      </c>
      <c r="E6" s="14" t="s">
        <v>69</v>
      </c>
    </row>
    <row r="7" spans="1:5" ht="51.75" customHeight="1" x14ac:dyDescent="0.45">
      <c r="A7" s="43">
        <v>45748</v>
      </c>
      <c r="B7" s="27">
        <v>61</v>
      </c>
      <c r="C7" s="5">
        <v>55</v>
      </c>
      <c r="D7" s="6">
        <f t="shared" si="0"/>
        <v>6</v>
      </c>
      <c r="E7" s="9" t="s">
        <v>69</v>
      </c>
    </row>
    <row r="8" spans="1:5" ht="51.75" customHeight="1" x14ac:dyDescent="0.45">
      <c r="A8" s="43">
        <v>45778</v>
      </c>
      <c r="B8" s="26">
        <v>58</v>
      </c>
      <c r="C8" s="12">
        <v>55</v>
      </c>
      <c r="D8" s="16">
        <f t="shared" si="0"/>
        <v>3</v>
      </c>
      <c r="E8" s="14" t="s">
        <v>69</v>
      </c>
    </row>
    <row r="9" spans="1:5" ht="51.75" customHeight="1" x14ac:dyDescent="0.45">
      <c r="A9" s="43">
        <v>45809</v>
      </c>
      <c r="B9" s="27">
        <v>67</v>
      </c>
      <c r="C9" s="5">
        <v>55</v>
      </c>
      <c r="D9" s="6">
        <f t="shared" si="0"/>
        <v>12</v>
      </c>
      <c r="E9" s="9" t="s">
        <v>69</v>
      </c>
    </row>
    <row r="10" spans="1:5" ht="51.75" customHeight="1" x14ac:dyDescent="0.45">
      <c r="A10" s="43">
        <v>45839</v>
      </c>
      <c r="B10" s="26">
        <v>71</v>
      </c>
      <c r="C10" s="12">
        <v>60</v>
      </c>
      <c r="D10" s="16">
        <f t="shared" si="0"/>
        <v>11</v>
      </c>
      <c r="E10" s="14" t="s">
        <v>69</v>
      </c>
    </row>
    <row r="11" spans="1:5" ht="51.75" customHeight="1" x14ac:dyDescent="0.45">
      <c r="A11" s="43">
        <v>45870</v>
      </c>
      <c r="B11" s="27">
        <v>65</v>
      </c>
      <c r="C11" s="5">
        <v>60</v>
      </c>
      <c r="D11" s="6">
        <f t="shared" si="0"/>
        <v>5</v>
      </c>
      <c r="E11" s="9" t="s">
        <v>69</v>
      </c>
    </row>
    <row r="12" spans="1:5" ht="51.75" customHeight="1" x14ac:dyDescent="0.45">
      <c r="A12" s="43">
        <v>45901</v>
      </c>
      <c r="B12" s="26">
        <v>74</v>
      </c>
      <c r="C12" s="12">
        <v>60</v>
      </c>
      <c r="D12" s="16">
        <f t="shared" si="0"/>
        <v>14</v>
      </c>
      <c r="E12" s="14" t="s">
        <v>69</v>
      </c>
    </row>
    <row r="13" spans="1:5" ht="51.75" customHeight="1" x14ac:dyDescent="0.45">
      <c r="A13" s="43">
        <v>45931</v>
      </c>
      <c r="B13" s="27">
        <v>78</v>
      </c>
      <c r="C13" s="5">
        <v>65</v>
      </c>
      <c r="D13" s="6">
        <f t="shared" si="0"/>
        <v>13</v>
      </c>
      <c r="E13" s="9" t="s">
        <v>69</v>
      </c>
    </row>
    <row r="14" spans="1:5" ht="51.75" customHeight="1" x14ac:dyDescent="0.45">
      <c r="A14" s="43">
        <v>45962</v>
      </c>
      <c r="B14" s="26">
        <v>69</v>
      </c>
      <c r="C14" s="12">
        <v>65</v>
      </c>
      <c r="D14" s="16">
        <f t="shared" si="0"/>
        <v>4</v>
      </c>
      <c r="E14" s="14" t="s">
        <v>69</v>
      </c>
    </row>
    <row r="15" spans="1:5" ht="51.75" customHeight="1" x14ac:dyDescent="0.45">
      <c r="A15" s="43">
        <v>45992</v>
      </c>
      <c r="B15" s="27">
        <v>80</v>
      </c>
      <c r="C15" s="5">
        <v>65</v>
      </c>
      <c r="D15" s="6">
        <f t="shared" si="0"/>
        <v>15</v>
      </c>
      <c r="E15" s="9" t="s">
        <v>69</v>
      </c>
    </row>
    <row r="16" spans="1:5" ht="51.75" customHeight="1" x14ac:dyDescent="0.45">
      <c r="A16" s="28" t="s">
        <v>70</v>
      </c>
      <c r="B16" s="29">
        <f>SUM(B4:B15)</f>
        <v>766</v>
      </c>
      <c r="C16" s="29">
        <f>SUM(C4:C15)</f>
        <v>690</v>
      </c>
      <c r="D16" s="29">
        <f t="shared" si="0"/>
        <v>76</v>
      </c>
      <c r="E16" s="30" t="s">
        <v>71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Normal="100" workbookViewId="0">
      <pane ySplit="3" topLeftCell="A4" activePane="bottomLeft" state="frozen"/>
      <selection pane="bottomLeft" activeCell="I5" sqref="I5"/>
    </sheetView>
  </sheetViews>
  <sheetFormatPr defaultColWidth="8.73046875" defaultRowHeight="14.25" x14ac:dyDescent="0.45"/>
  <cols>
    <col min="1" max="3" width="20" customWidth="1"/>
    <col min="4" max="4" width="52" customWidth="1"/>
  </cols>
  <sheetData>
    <row r="1" spans="1:4" ht="15" customHeight="1" x14ac:dyDescent="0.45">
      <c r="A1" s="48" t="s">
        <v>72</v>
      </c>
      <c r="B1" s="48"/>
      <c r="C1" s="48"/>
    </row>
    <row r="3" spans="1:4" ht="15" customHeight="1" x14ac:dyDescent="0.45">
      <c r="A3" s="1" t="s">
        <v>73</v>
      </c>
      <c r="B3" s="1" t="s">
        <v>74</v>
      </c>
      <c r="C3" s="1" t="s">
        <v>75</v>
      </c>
      <c r="D3" s="2" t="s">
        <v>8</v>
      </c>
    </row>
    <row r="4" spans="1:4" ht="51.75" customHeight="1" x14ac:dyDescent="0.45">
      <c r="A4" s="10" t="s">
        <v>141</v>
      </c>
      <c r="B4" s="13">
        <v>3.2</v>
      </c>
      <c r="C4" s="12" t="s">
        <v>76</v>
      </c>
      <c r="D4" s="14" t="s">
        <v>77</v>
      </c>
    </row>
    <row r="5" spans="1:4" ht="51.75" customHeight="1" x14ac:dyDescent="0.45">
      <c r="A5" s="3" t="s">
        <v>140</v>
      </c>
      <c r="B5" s="15">
        <v>3.8</v>
      </c>
      <c r="C5" s="31">
        <f>B5-B4</f>
        <v>0.59999999999999964</v>
      </c>
      <c r="D5" s="9" t="s">
        <v>77</v>
      </c>
    </row>
    <row r="6" spans="1:4" ht="51.75" customHeight="1" x14ac:dyDescent="0.45">
      <c r="A6" s="10" t="s">
        <v>142</v>
      </c>
      <c r="B6" s="13">
        <v>4.0999999999999996</v>
      </c>
      <c r="C6" s="32">
        <f>B6-B5</f>
        <v>0.29999999999999982</v>
      </c>
      <c r="D6" s="14" t="s">
        <v>77</v>
      </c>
    </row>
    <row r="7" spans="1:4" ht="51.75" customHeight="1" x14ac:dyDescent="0.45">
      <c r="A7" s="3" t="s">
        <v>143</v>
      </c>
      <c r="B7" s="15">
        <v>4.5999999999999996</v>
      </c>
      <c r="C7" s="31">
        <f>B7-B6</f>
        <v>0.5</v>
      </c>
      <c r="D7" s="9" t="s">
        <v>77</v>
      </c>
    </row>
    <row r="8" spans="1:4" ht="51.75" customHeight="1" x14ac:dyDescent="0.45">
      <c r="A8" s="10" t="s">
        <v>144</v>
      </c>
      <c r="B8" s="13">
        <v>5</v>
      </c>
      <c r="C8" s="32">
        <f>B8-B7</f>
        <v>0.40000000000000036</v>
      </c>
      <c r="D8" s="14" t="s">
        <v>78</v>
      </c>
    </row>
    <row r="9" spans="1:4" ht="51.75" customHeight="1" x14ac:dyDescent="0.45">
      <c r="A9" s="3" t="s">
        <v>145</v>
      </c>
      <c r="B9" s="15">
        <v>4.7</v>
      </c>
      <c r="C9" s="31">
        <f>B9-B8</f>
        <v>-0.29999999999999982</v>
      </c>
      <c r="D9" s="9" t="s">
        <v>146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Normal="100" workbookViewId="0">
      <pane ySplit="3" topLeftCell="A4" activePane="bottomLeft" state="frozen"/>
      <selection pane="bottomLeft" sqref="A1:C1"/>
    </sheetView>
  </sheetViews>
  <sheetFormatPr defaultColWidth="8.73046875" defaultRowHeight="14.25" x14ac:dyDescent="0.45"/>
  <cols>
    <col min="1" max="3" width="22" customWidth="1"/>
    <col min="4" max="4" width="52" customWidth="1"/>
  </cols>
  <sheetData>
    <row r="1" spans="1:4" ht="15" customHeight="1" x14ac:dyDescent="0.45">
      <c r="A1" s="48" t="s">
        <v>79</v>
      </c>
      <c r="B1" s="48"/>
      <c r="C1" s="48"/>
    </row>
    <row r="3" spans="1:4" ht="15" customHeight="1" x14ac:dyDescent="0.45">
      <c r="A3" s="1" t="s">
        <v>80</v>
      </c>
      <c r="B3" s="1" t="s">
        <v>81</v>
      </c>
      <c r="C3" s="1" t="s">
        <v>82</v>
      </c>
      <c r="D3" s="2" t="s">
        <v>8</v>
      </c>
    </row>
    <row r="4" spans="1:4" ht="51.75" customHeight="1" x14ac:dyDescent="0.45">
      <c r="A4" s="10" t="s">
        <v>83</v>
      </c>
      <c r="B4" s="11" t="s">
        <v>84</v>
      </c>
      <c r="C4" s="22" t="s">
        <v>85</v>
      </c>
      <c r="D4" s="14" t="s">
        <v>86</v>
      </c>
    </row>
    <row r="5" spans="1:4" ht="51.75" customHeight="1" x14ac:dyDescent="0.45">
      <c r="A5" s="3" t="s">
        <v>87</v>
      </c>
      <c r="B5" s="4" t="s">
        <v>88</v>
      </c>
      <c r="C5" s="8" t="s">
        <v>89</v>
      </c>
      <c r="D5" s="9" t="s">
        <v>90</v>
      </c>
    </row>
    <row r="6" spans="1:4" ht="51.75" customHeight="1" x14ac:dyDescent="0.45">
      <c r="A6" s="10" t="s">
        <v>91</v>
      </c>
      <c r="B6" s="11" t="s">
        <v>92</v>
      </c>
      <c r="C6" s="20" t="s">
        <v>93</v>
      </c>
      <c r="D6" s="14" t="s">
        <v>94</v>
      </c>
    </row>
    <row r="7" spans="1:4" ht="51.75" customHeight="1" x14ac:dyDescent="0.45">
      <c r="A7" s="3" t="s">
        <v>95</v>
      </c>
      <c r="B7" s="4" t="s">
        <v>96</v>
      </c>
      <c r="C7" s="33" t="s">
        <v>97</v>
      </c>
      <c r="D7" s="9" t="s">
        <v>98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zoomScaleNormal="100" workbookViewId="0">
      <pane ySplit="3" topLeftCell="A6" activePane="bottomLeft" state="frozen"/>
      <selection pane="bottomLeft" activeCell="H6" sqref="H6"/>
    </sheetView>
  </sheetViews>
  <sheetFormatPr defaultColWidth="8.73046875" defaultRowHeight="14.25" x14ac:dyDescent="0.45"/>
  <cols>
    <col min="1" max="1" width="34" customWidth="1"/>
    <col min="2" max="4" width="14" customWidth="1"/>
    <col min="5" max="5" width="62.9296875" customWidth="1"/>
  </cols>
  <sheetData>
    <row r="1" spans="1:5" ht="15" customHeight="1" x14ac:dyDescent="0.45">
      <c r="A1" s="44" t="s">
        <v>99</v>
      </c>
      <c r="B1" s="44"/>
      <c r="C1" s="44"/>
      <c r="D1" s="44"/>
    </row>
    <row r="3" spans="1:5" ht="15" customHeight="1" x14ac:dyDescent="0.45">
      <c r="A3" s="34" t="s">
        <v>2</v>
      </c>
      <c r="B3" s="34" t="s">
        <v>100</v>
      </c>
      <c r="C3" s="34" t="s">
        <v>101</v>
      </c>
      <c r="D3" s="34" t="s">
        <v>6</v>
      </c>
      <c r="E3" s="35" t="s">
        <v>8</v>
      </c>
    </row>
    <row r="4" spans="1:5" ht="51.75" customHeight="1" x14ac:dyDescent="0.45">
      <c r="A4" s="36" t="s">
        <v>102</v>
      </c>
      <c r="B4" s="26" t="s">
        <v>103</v>
      </c>
      <c r="C4" s="12" t="s">
        <v>104</v>
      </c>
      <c r="D4" s="7" t="s">
        <v>11</v>
      </c>
      <c r="E4" s="14" t="s">
        <v>105</v>
      </c>
    </row>
    <row r="5" spans="1:5" ht="51.75" customHeight="1" x14ac:dyDescent="0.45">
      <c r="A5" s="37" t="s">
        <v>106</v>
      </c>
      <c r="B5" s="27" t="s">
        <v>107</v>
      </c>
      <c r="C5" s="5" t="s">
        <v>108</v>
      </c>
      <c r="D5" s="7" t="s">
        <v>11</v>
      </c>
      <c r="E5" s="9" t="s">
        <v>109</v>
      </c>
    </row>
    <row r="6" spans="1:5" ht="51.75" customHeight="1" x14ac:dyDescent="0.45">
      <c r="A6" s="36" t="s">
        <v>56</v>
      </c>
      <c r="B6" s="26" t="s">
        <v>110</v>
      </c>
      <c r="C6" s="12" t="s">
        <v>111</v>
      </c>
      <c r="D6" s="7" t="s">
        <v>11</v>
      </c>
      <c r="E6" s="14" t="s">
        <v>112</v>
      </c>
    </row>
    <row r="7" spans="1:5" ht="51.75" customHeight="1" x14ac:dyDescent="0.45">
      <c r="A7" s="37" t="s">
        <v>58</v>
      </c>
      <c r="B7" s="27" t="s">
        <v>113</v>
      </c>
      <c r="C7" s="5" t="s">
        <v>114</v>
      </c>
      <c r="D7" s="21" t="s">
        <v>42</v>
      </c>
      <c r="E7" s="9" t="s">
        <v>115</v>
      </c>
    </row>
    <row r="8" spans="1:5" ht="51.75" customHeight="1" x14ac:dyDescent="0.45">
      <c r="A8" s="36" t="s">
        <v>60</v>
      </c>
      <c r="B8" s="26" t="s">
        <v>116</v>
      </c>
      <c r="C8" s="12" t="s">
        <v>111</v>
      </c>
      <c r="D8" s="21" t="s">
        <v>42</v>
      </c>
      <c r="E8" s="14" t="s">
        <v>117</v>
      </c>
    </row>
    <row r="9" spans="1:5" ht="51.75" customHeight="1" x14ac:dyDescent="0.45">
      <c r="A9" s="37" t="s">
        <v>62</v>
      </c>
      <c r="B9" s="27" t="s">
        <v>118</v>
      </c>
      <c r="C9" s="5" t="s">
        <v>108</v>
      </c>
      <c r="D9" s="7" t="s">
        <v>11</v>
      </c>
      <c r="E9" s="9" t="s">
        <v>119</v>
      </c>
    </row>
    <row r="10" spans="1:5" ht="51.75" customHeight="1" x14ac:dyDescent="0.45">
      <c r="A10" s="36" t="s">
        <v>120</v>
      </c>
      <c r="B10" s="26" t="s">
        <v>121</v>
      </c>
      <c r="C10" s="12" t="s">
        <v>122</v>
      </c>
      <c r="D10" s="21" t="s">
        <v>42</v>
      </c>
      <c r="E10" s="14" t="s">
        <v>123</v>
      </c>
    </row>
    <row r="11" spans="1:5" ht="51.75" customHeight="1" x14ac:dyDescent="0.45">
      <c r="A11" s="37" t="s">
        <v>124</v>
      </c>
      <c r="B11" s="27" t="s">
        <v>125</v>
      </c>
      <c r="C11" s="5" t="s">
        <v>104</v>
      </c>
      <c r="D11" s="7" t="s">
        <v>11</v>
      </c>
      <c r="E11" s="9" t="s">
        <v>126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zoomScaleNormal="100" workbookViewId="0">
      <pane ySplit="3" topLeftCell="A4" activePane="bottomLeft" state="frozen"/>
      <selection pane="bottomLeft" sqref="A1:E1"/>
    </sheetView>
  </sheetViews>
  <sheetFormatPr defaultColWidth="8.73046875" defaultRowHeight="14.25" x14ac:dyDescent="0.45"/>
  <cols>
    <col min="1" max="1" width="30" customWidth="1"/>
    <col min="2" max="2" width="12" customWidth="1"/>
    <col min="3" max="4" width="10" customWidth="1"/>
    <col min="5" max="5" width="12" customWidth="1"/>
    <col min="6" max="6" width="55" customWidth="1"/>
  </cols>
  <sheetData>
    <row r="1" spans="1:6" ht="15" customHeight="1" x14ac:dyDescent="0.45">
      <c r="A1" s="49" t="s">
        <v>127</v>
      </c>
      <c r="B1" s="49"/>
      <c r="C1" s="49"/>
      <c r="D1" s="49"/>
      <c r="E1" s="49"/>
    </row>
    <row r="3" spans="1:6" ht="15" customHeight="1" x14ac:dyDescent="0.45">
      <c r="A3" s="38" t="s">
        <v>2</v>
      </c>
      <c r="B3" s="38" t="s">
        <v>128</v>
      </c>
      <c r="C3" s="38" t="s">
        <v>4</v>
      </c>
      <c r="D3" s="38" t="s">
        <v>67</v>
      </c>
      <c r="E3" s="38" t="s">
        <v>6</v>
      </c>
      <c r="F3" s="39" t="s">
        <v>8</v>
      </c>
    </row>
    <row r="4" spans="1:6" ht="51.75" customHeight="1" x14ac:dyDescent="0.45">
      <c r="A4" s="36" t="s">
        <v>35</v>
      </c>
      <c r="B4" s="40">
        <v>87</v>
      </c>
      <c r="C4" s="12" t="s">
        <v>18</v>
      </c>
      <c r="D4" s="12">
        <v>85</v>
      </c>
      <c r="E4" s="7" t="s">
        <v>11</v>
      </c>
      <c r="F4" s="14" t="s">
        <v>129</v>
      </c>
    </row>
    <row r="5" spans="1:6" ht="51.75" customHeight="1" x14ac:dyDescent="0.45">
      <c r="A5" s="37" t="s">
        <v>38</v>
      </c>
      <c r="B5" s="41">
        <v>64</v>
      </c>
      <c r="C5" s="5" t="s">
        <v>18</v>
      </c>
      <c r="D5" s="5">
        <v>60</v>
      </c>
      <c r="E5" s="7" t="s">
        <v>11</v>
      </c>
      <c r="F5" s="9" t="s">
        <v>130</v>
      </c>
    </row>
    <row r="6" spans="1:6" ht="51.75" customHeight="1" x14ac:dyDescent="0.45">
      <c r="A6" s="36" t="s">
        <v>40</v>
      </c>
      <c r="B6" s="40">
        <v>2.4</v>
      </c>
      <c r="C6" s="12" t="s">
        <v>41</v>
      </c>
      <c r="D6" s="12">
        <v>3</v>
      </c>
      <c r="E6" s="21" t="s">
        <v>42</v>
      </c>
      <c r="F6" s="14" t="s">
        <v>131</v>
      </c>
    </row>
    <row r="7" spans="1:6" ht="51.75" customHeight="1" x14ac:dyDescent="0.45">
      <c r="A7" s="37" t="s">
        <v>44</v>
      </c>
      <c r="B7" s="41">
        <v>98</v>
      </c>
      <c r="C7" s="5" t="s">
        <v>18</v>
      </c>
      <c r="D7" s="5">
        <v>99</v>
      </c>
      <c r="E7" s="21" t="s">
        <v>42</v>
      </c>
      <c r="F7" s="9" t="s">
        <v>132</v>
      </c>
    </row>
    <row r="8" spans="1:6" ht="51.75" customHeight="1" x14ac:dyDescent="0.45">
      <c r="A8" s="36" t="s">
        <v>46</v>
      </c>
      <c r="B8" s="40">
        <v>4.0999999999999996</v>
      </c>
      <c r="C8" s="12" t="s">
        <v>33</v>
      </c>
      <c r="D8" s="12">
        <v>4</v>
      </c>
      <c r="E8" s="7" t="s">
        <v>11</v>
      </c>
      <c r="F8" s="14" t="s">
        <v>133</v>
      </c>
    </row>
    <row r="9" spans="1:6" ht="51.75" customHeight="1" x14ac:dyDescent="0.45">
      <c r="A9" s="37" t="s">
        <v>48</v>
      </c>
      <c r="B9" s="41">
        <v>23</v>
      </c>
      <c r="C9" s="5" t="s">
        <v>49</v>
      </c>
      <c r="D9" s="5">
        <v>20</v>
      </c>
      <c r="E9" s="7" t="s">
        <v>11</v>
      </c>
      <c r="F9" s="9" t="s">
        <v>134</v>
      </c>
    </row>
    <row r="10" spans="1:6" ht="51.75" customHeight="1" x14ac:dyDescent="0.45">
      <c r="A10" s="36" t="s">
        <v>135</v>
      </c>
      <c r="B10" s="40">
        <v>18</v>
      </c>
      <c r="C10" s="12" t="s">
        <v>136</v>
      </c>
      <c r="D10" s="12">
        <v>25</v>
      </c>
      <c r="E10" s="21" t="s">
        <v>42</v>
      </c>
      <c r="F10" s="14" t="s">
        <v>137</v>
      </c>
    </row>
    <row r="11" spans="1:6" ht="51.75" customHeight="1" x14ac:dyDescent="0.45">
      <c r="A11" s="37" t="s">
        <v>138</v>
      </c>
      <c r="B11" s="41">
        <v>42</v>
      </c>
      <c r="C11" s="5" t="s">
        <v>14</v>
      </c>
      <c r="D11" s="5">
        <v>30</v>
      </c>
      <c r="E11" s="21" t="s">
        <v>42</v>
      </c>
      <c r="F11" s="9" t="s">
        <v>139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KPIs</vt:lpstr>
      <vt:lpstr>Monthly Placements</vt:lpstr>
      <vt:lpstr>Eviction Trend</vt:lpstr>
      <vt:lpstr>Partner Ecosystem</vt:lpstr>
      <vt:lpstr>DEIB Metrics</vt:lpstr>
      <vt:lpstr>Org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 Hubers</cp:lastModifiedBy>
  <cp:revision>0</cp:revision>
  <dcterms:created xsi:type="dcterms:W3CDTF">2026-03-02T20:40:11Z</dcterms:created>
  <dcterms:modified xsi:type="dcterms:W3CDTF">2026-03-18T15:47:26Z</dcterms:modified>
  <dc:language>en-US</dc:language>
</cp:coreProperties>
</file>